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ycheng/Desktop/UCSD/COGS3 Labs/Lab 4/"/>
    </mc:Choice>
  </mc:AlternateContent>
  <xr:revisionPtr revIDLastSave="0" documentId="8_{9DE0140D-8DCB-4B18-A828-AB1E2E3A4FDB}" xr6:coauthVersionLast="47" xr6:coauthVersionMax="47" xr10:uidLastSave="{00000000-0000-0000-0000-000000000000}"/>
  <bookViews>
    <workbookView xWindow="1100" yWindow="820" windowWidth="28040" windowHeight="17420" xr2:uid="{D1E2E81F-0D55-D040-85F4-628D37776F18}"/>
  </bookViews>
  <sheets>
    <sheet name="jaa010 Data" sheetId="1" r:id="rId1"/>
    <sheet name="Pivot Table " sheetId="3" r:id="rId2"/>
    <sheet name="Totals Chart" sheetId="2" r:id="rId3"/>
  </sheets>
  <definedNames>
    <definedName name="MaxScore">80</definedName>
  </definedNames>
  <calcPr calcId="191028"/>
  <pivotCaches>
    <pivotCache cacheId="887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1" l="1"/>
  <c r="C43" i="1"/>
  <c r="G2" i="1"/>
  <c r="E44" i="1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1" i="2"/>
  <c r="D45" i="1"/>
  <c r="E45" i="1"/>
  <c r="F45" i="1"/>
  <c r="C45" i="1"/>
  <c r="D44" i="1"/>
  <c r="F44" i="1"/>
  <c r="C44" i="1"/>
  <c r="D43" i="1"/>
  <c r="E43" i="1"/>
  <c r="F43" i="1"/>
  <c r="D42" i="1"/>
  <c r="E42" i="1"/>
  <c r="F42" i="1"/>
  <c r="G3" i="1"/>
  <c r="I3" i="1" s="1"/>
  <c r="G4" i="1"/>
  <c r="G5" i="1"/>
  <c r="G6" i="1"/>
  <c r="G7" i="1"/>
  <c r="H7" i="1" s="1"/>
  <c r="G8" i="1"/>
  <c r="G9" i="1"/>
  <c r="G10" i="1"/>
  <c r="G11" i="1"/>
  <c r="G12" i="1"/>
  <c r="H12" i="1" s="1"/>
  <c r="G13" i="1"/>
  <c r="G14" i="1"/>
  <c r="G15" i="1"/>
  <c r="I15" i="1" s="1"/>
  <c r="G16" i="1"/>
  <c r="G17" i="1"/>
  <c r="G18" i="1"/>
  <c r="G19" i="1"/>
  <c r="G20" i="1"/>
  <c r="G21" i="1"/>
  <c r="G22" i="1"/>
  <c r="G23" i="1"/>
  <c r="G24" i="1"/>
  <c r="H24" i="1" s="1"/>
  <c r="G25" i="1"/>
  <c r="G26" i="1"/>
  <c r="G27" i="1"/>
  <c r="I27" i="1" s="1"/>
  <c r="G28" i="1"/>
  <c r="G29" i="1"/>
  <c r="G30" i="1"/>
  <c r="G31" i="1"/>
  <c r="G32" i="1"/>
  <c r="G33" i="1"/>
  <c r="H33" i="1" s="1"/>
  <c r="G34" i="1"/>
  <c r="G35" i="1"/>
  <c r="G36" i="1"/>
  <c r="H36" i="1" s="1"/>
  <c r="G37" i="1"/>
  <c r="G38" i="1"/>
  <c r="G39" i="1"/>
  <c r="I39" i="1" s="1"/>
  <c r="G40" i="1"/>
  <c r="I40" i="1" l="1"/>
  <c r="H40" i="1"/>
  <c r="H38" i="1"/>
  <c r="I38" i="1"/>
  <c r="I37" i="1"/>
  <c r="H37" i="1"/>
  <c r="I35" i="1"/>
  <c r="H35" i="1"/>
  <c r="I34" i="1"/>
  <c r="H34" i="1"/>
  <c r="I32" i="1"/>
  <c r="H32" i="1"/>
  <c r="I31" i="1"/>
  <c r="H31" i="1"/>
  <c r="I30" i="1"/>
  <c r="H30" i="1"/>
  <c r="I29" i="1"/>
  <c r="H29" i="1"/>
  <c r="I28" i="1"/>
  <c r="H28" i="1"/>
  <c r="H26" i="1"/>
  <c r="I26" i="1"/>
  <c r="I25" i="1"/>
  <c r="H25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H14" i="1"/>
  <c r="I14" i="1"/>
  <c r="I13" i="1"/>
  <c r="H13" i="1"/>
  <c r="I11" i="1"/>
  <c r="H11" i="1"/>
  <c r="I10" i="1"/>
  <c r="H10" i="1"/>
  <c r="I9" i="1"/>
  <c r="H9" i="1"/>
  <c r="I8" i="1"/>
  <c r="H8" i="1"/>
  <c r="I6" i="1"/>
  <c r="H6" i="1"/>
  <c r="I5" i="1"/>
  <c r="H5" i="1"/>
  <c r="I4" i="1"/>
  <c r="H4" i="1"/>
  <c r="G42" i="1"/>
  <c r="H2" i="1"/>
  <c r="I7" i="1"/>
  <c r="I36" i="1"/>
  <c r="G43" i="1"/>
  <c r="H39" i="1"/>
  <c r="H27" i="1"/>
  <c r="H15" i="1"/>
  <c r="H3" i="1"/>
  <c r="I24" i="1"/>
  <c r="G44" i="1"/>
  <c r="I2" i="1"/>
  <c r="I12" i="1"/>
  <c r="G45" i="1"/>
</calcChain>
</file>

<file path=xl/sharedStrings.xml><?xml version="1.0" encoding="utf-8"?>
<sst xmlns="http://schemas.openxmlformats.org/spreadsheetml/2006/main" count="140" uniqueCount="99">
  <si>
    <t>Student Names</t>
  </si>
  <si>
    <t>Student ID</t>
  </si>
  <si>
    <t xml:space="preserve">Quiz 1 </t>
  </si>
  <si>
    <t xml:space="preserve">Quiz 2 </t>
  </si>
  <si>
    <t xml:space="preserve">Quiz 3 </t>
  </si>
  <si>
    <t xml:space="preserve">Quiz 4 </t>
  </si>
  <si>
    <t xml:space="preserve">Totals </t>
  </si>
  <si>
    <t>P/NP</t>
  </si>
  <si>
    <t xml:space="preserve">Grades </t>
  </si>
  <si>
    <t xml:space="preserve">Krusty Clown </t>
  </si>
  <si>
    <t>A0001</t>
  </si>
  <si>
    <t xml:space="preserve">Maude Flanders </t>
  </si>
  <si>
    <t>A0002</t>
  </si>
  <si>
    <t xml:space="preserve">Otto Manns </t>
  </si>
  <si>
    <t>A0003</t>
  </si>
  <si>
    <t xml:space="preserve">Jebi Springfeld </t>
  </si>
  <si>
    <t>A0004</t>
  </si>
  <si>
    <t xml:space="preserve">Clancy Wiggum </t>
  </si>
  <si>
    <t>A0005</t>
  </si>
  <si>
    <t xml:space="preserve">Hans Molemen </t>
  </si>
  <si>
    <t>A0006</t>
  </si>
  <si>
    <t xml:space="preserve">Patty Bouvier </t>
  </si>
  <si>
    <t>A0007</t>
  </si>
  <si>
    <t> </t>
  </si>
  <si>
    <t xml:space="preserve">Bart Simpson </t>
  </si>
  <si>
    <t>A0008</t>
  </si>
  <si>
    <t xml:space="preserve">Edna Krabappel </t>
  </si>
  <si>
    <t>A0009</t>
  </si>
  <si>
    <t xml:space="preserve">Selma Bouvier </t>
  </si>
  <si>
    <t>A0010</t>
  </si>
  <si>
    <t xml:space="preserve">Nick Rivera </t>
  </si>
  <si>
    <t>A0011</t>
  </si>
  <si>
    <t xml:space="preserve">Homer Simpson </t>
  </si>
  <si>
    <t>A0012</t>
  </si>
  <si>
    <t xml:space="preserve">Ned Flanders </t>
  </si>
  <si>
    <t>A0013</t>
  </si>
  <si>
    <t xml:space="preserve">Barney Gumbell </t>
  </si>
  <si>
    <t>A0014</t>
  </si>
  <si>
    <t xml:space="preserve">Apu Nahasapeemapetilon </t>
  </si>
  <si>
    <t>A0015</t>
  </si>
  <si>
    <t xml:space="preserve">Lisa Simpson </t>
  </si>
  <si>
    <t>A0016</t>
  </si>
  <si>
    <t xml:space="preserve">Waylend Smithers </t>
  </si>
  <si>
    <t>A0017</t>
  </si>
  <si>
    <t xml:space="preserve">Seymour Skiner </t>
  </si>
  <si>
    <t>A0018</t>
  </si>
  <si>
    <t xml:space="preserve">Kent Brocmann </t>
  </si>
  <si>
    <t>A0019</t>
  </si>
  <si>
    <t xml:space="preserve">Troy McClure </t>
  </si>
  <si>
    <t>A0020</t>
  </si>
  <si>
    <t xml:space="preserve">Montgomery Burns </t>
  </si>
  <si>
    <t>A0021</t>
  </si>
  <si>
    <t xml:space="preserve">Joseph Quimbey </t>
  </si>
  <si>
    <t>A0022</t>
  </si>
  <si>
    <t xml:space="preserve">Dewey Largoon </t>
  </si>
  <si>
    <t>A0023</t>
  </si>
  <si>
    <t xml:space="preserve">Silvia Winfield </t>
  </si>
  <si>
    <t>A0024</t>
  </si>
  <si>
    <t xml:space="preserve">Todd Flanders </t>
  </si>
  <si>
    <t>A0025</t>
  </si>
  <si>
    <t xml:space="preserve">Beatrice Simmons </t>
  </si>
  <si>
    <t>A0026</t>
  </si>
  <si>
    <t xml:space="preserve">Manjulla Nahasapeemapetilon </t>
  </si>
  <si>
    <t>A0027</t>
  </si>
  <si>
    <t xml:space="preserve">Janey Hagstreem </t>
  </si>
  <si>
    <t>A0028</t>
  </si>
  <si>
    <t xml:space="preserve">Elizabeth Hoover </t>
  </si>
  <si>
    <t>A0029</t>
  </si>
  <si>
    <t xml:space="preserve">Herbert Powel </t>
  </si>
  <si>
    <t>A0030</t>
  </si>
  <si>
    <t xml:space="preserve">Nelsen Hunts </t>
  </si>
  <si>
    <t>A0031</t>
  </si>
  <si>
    <t xml:space="preserve">Cecil Terwilliger </t>
  </si>
  <si>
    <t>A0032</t>
  </si>
  <si>
    <t xml:space="preserve">Samantha Stanky </t>
  </si>
  <si>
    <t>A0033</t>
  </si>
  <si>
    <t xml:space="preserve">Ralph Wiggum </t>
  </si>
  <si>
    <t>A0034</t>
  </si>
  <si>
    <t xml:space="preserve">Cornelius Talmadge </t>
  </si>
  <si>
    <t>A0035</t>
  </si>
  <si>
    <t xml:space="preserve">Rod Flanders </t>
  </si>
  <si>
    <t>A0036</t>
  </si>
  <si>
    <t xml:space="preserve">Alison Taylor </t>
  </si>
  <si>
    <t>A0037</t>
  </si>
  <si>
    <t xml:space="preserve">Martin Princess </t>
  </si>
  <si>
    <t>A0038</t>
  </si>
  <si>
    <t xml:space="preserve">Langdon Alger </t>
  </si>
  <si>
    <t>A0041</t>
  </si>
  <si>
    <t xml:space="preserve">Average - rows </t>
  </si>
  <si>
    <t xml:space="preserve">Average - count </t>
  </si>
  <si>
    <t xml:space="preserve">Average - formula </t>
  </si>
  <si>
    <t xml:space="preserve">stdev </t>
  </si>
  <si>
    <t>F</t>
  </si>
  <si>
    <t>Row Labels</t>
  </si>
  <si>
    <t xml:space="preserve">Count of Grades </t>
  </si>
  <si>
    <t>C</t>
  </si>
  <si>
    <t>A</t>
  </si>
  <si>
    <t>B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</si>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</sst>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12"/>
      <color theme="1"/>
      <name val="Calibri"/>
      <scheme val="minor"/>
    </font>
    <font>
      <sz val="10"/>
      <color rgb="FF9C0006"/>
      <name val="Calibri"/>
      <scheme val="minor"/>
    </font>
    <font>
      <sz val="10"/>
      <color theme="1"/>
      <name val="Calibri"/>
      <scheme val="minor"/>
    </font>
    <font>
      <sz val="10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Course</a:t>
            </a:r>
            <a:r>
              <a:rPr lang="en-US" baseline="0"/>
              <a:t> Final Percentages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401-4B4B-94B3-D14C18687CD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401-4B4B-94B3-D14C18687CD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401-4B4B-94B3-D14C18687CD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401-4B4B-94B3-D14C18687CD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401-4B4B-94B3-D14C18687CD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401-4B4B-94B3-D14C18687CD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401-4B4B-94B3-D14C18687CDF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3401-4B4B-94B3-D14C18687CD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3401-4B4B-94B3-D14C18687CDF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3401-4B4B-94B3-D14C18687CDF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3401-4B4B-94B3-D14C18687CDF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3401-4B4B-94B3-D14C18687CDF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3401-4B4B-94B3-D14C18687CDF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3401-4B4B-94B3-D14C18687CDF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3401-4B4B-94B3-D14C18687CDF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3401-4B4B-94B3-D14C18687CDF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3401-4B4B-94B3-D14C18687CDF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3401-4B4B-94B3-D14C18687CDF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3401-4B4B-94B3-D14C18687CDF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3401-4B4B-94B3-D14C18687CDF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3401-4B4B-94B3-D14C18687CDF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3401-4B4B-94B3-D14C18687CDF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3401-4B4B-94B3-D14C18687CDF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3401-4B4B-94B3-D14C18687CDF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3401-4B4B-94B3-D14C18687CDF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3401-4B4B-94B3-D14C18687CDF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3401-4B4B-94B3-D14C18687CDF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7-3401-4B4B-94B3-D14C18687CDF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9-3401-4B4B-94B3-D14C18687CDF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B-3401-4B4B-94B3-D14C18687CDF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D-3401-4B4B-94B3-D14C18687CDF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F-3401-4B4B-94B3-D14C18687CDF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1-3401-4B4B-94B3-D14C18687CDF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3-3401-4B4B-94B3-D14C18687CDF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5-3401-4B4B-94B3-D14C18687CDF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7-3401-4B4B-94B3-D14C18687CDF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9-3401-4B4B-94B3-D14C18687CDF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B-3401-4B4B-94B3-D14C18687CDF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D-3401-4B4B-94B3-D14C18687CDF}"/>
              </c:ext>
            </c:extLst>
          </c:dPt>
          <c:val>
            <c:numRef>
              <c:f>'Totals Chart'!$B$1:$B$39</c:f>
              <c:numCache>
                <c:formatCode>General</c:formatCode>
                <c:ptCount val="39"/>
                <c:pt idx="0">
                  <c:v>98.75</c:v>
                </c:pt>
                <c:pt idx="1">
                  <c:v>98.75</c:v>
                </c:pt>
                <c:pt idx="2">
                  <c:v>96.25</c:v>
                </c:pt>
                <c:pt idx="3">
                  <c:v>95</c:v>
                </c:pt>
                <c:pt idx="4">
                  <c:v>92.5</c:v>
                </c:pt>
                <c:pt idx="5">
                  <c:v>92.5</c:v>
                </c:pt>
                <c:pt idx="6">
                  <c:v>92.5</c:v>
                </c:pt>
                <c:pt idx="7">
                  <c:v>91.25</c:v>
                </c:pt>
                <c:pt idx="8">
                  <c:v>91.25</c:v>
                </c:pt>
                <c:pt idx="9">
                  <c:v>90</c:v>
                </c:pt>
                <c:pt idx="10">
                  <c:v>90</c:v>
                </c:pt>
                <c:pt idx="11">
                  <c:v>88.75</c:v>
                </c:pt>
                <c:pt idx="12">
                  <c:v>88.75</c:v>
                </c:pt>
                <c:pt idx="13">
                  <c:v>88.75</c:v>
                </c:pt>
                <c:pt idx="14">
                  <c:v>87.5</c:v>
                </c:pt>
                <c:pt idx="15">
                  <c:v>86.25</c:v>
                </c:pt>
                <c:pt idx="16">
                  <c:v>86.25</c:v>
                </c:pt>
                <c:pt idx="17">
                  <c:v>83.75</c:v>
                </c:pt>
                <c:pt idx="18">
                  <c:v>83.75</c:v>
                </c:pt>
                <c:pt idx="19">
                  <c:v>83.75</c:v>
                </c:pt>
                <c:pt idx="20">
                  <c:v>78.75</c:v>
                </c:pt>
                <c:pt idx="21">
                  <c:v>77.5</c:v>
                </c:pt>
                <c:pt idx="22">
                  <c:v>77.5</c:v>
                </c:pt>
                <c:pt idx="23">
                  <c:v>76.25</c:v>
                </c:pt>
                <c:pt idx="24">
                  <c:v>76.25</c:v>
                </c:pt>
                <c:pt idx="25">
                  <c:v>75</c:v>
                </c:pt>
                <c:pt idx="26">
                  <c:v>75</c:v>
                </c:pt>
                <c:pt idx="27">
                  <c:v>75</c:v>
                </c:pt>
                <c:pt idx="28">
                  <c:v>73.75</c:v>
                </c:pt>
                <c:pt idx="29">
                  <c:v>73.75</c:v>
                </c:pt>
                <c:pt idx="30">
                  <c:v>73.75</c:v>
                </c:pt>
                <c:pt idx="31">
                  <c:v>72.5</c:v>
                </c:pt>
                <c:pt idx="32">
                  <c:v>72.5</c:v>
                </c:pt>
                <c:pt idx="33">
                  <c:v>66.25</c:v>
                </c:pt>
                <c:pt idx="34">
                  <c:v>62.5</c:v>
                </c:pt>
                <c:pt idx="35">
                  <c:v>61.250000000000007</c:v>
                </c:pt>
                <c:pt idx="36">
                  <c:v>57.499999999999993</c:v>
                </c:pt>
                <c:pt idx="37">
                  <c:v>57.499999999999993</c:v>
                </c:pt>
                <c:pt idx="38">
                  <c:v>57.499999999999993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E-3401-4B4B-94B3-D14C18687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7733552"/>
        <c:axId val="1347596176"/>
      </c:barChart>
      <c:catAx>
        <c:axId val="13477335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596176"/>
        <c:crosses val="autoZero"/>
        <c:auto val="1"/>
        <c:lblAlgn val="ctr"/>
        <c:lblOffset val="100"/>
        <c:tickLblSkip val="1"/>
        <c:noMultiLvlLbl val="0"/>
      </c:catAx>
      <c:valAx>
        <c:axId val="134759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733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[AguilarLab4.xlsx]Pivot Table 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'!$D$2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'!$C$3:$C$7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F</c:v>
                </c:pt>
              </c:strCache>
            </c:strRef>
          </c:cat>
          <c:val>
            <c:numRef>
              <c:f>'Pivot Table '!$D$3:$D$7</c:f>
              <c:numCache>
                <c:formatCode>0.00%</c:formatCode>
                <c:ptCount val="4"/>
                <c:pt idx="0">
                  <c:v>0.28205128205128205</c:v>
                </c:pt>
                <c:pt idx="1">
                  <c:v>0.23076923076923078</c:v>
                </c:pt>
                <c:pt idx="2">
                  <c:v>0.33333333333333331</c:v>
                </c:pt>
                <c:pt idx="3">
                  <c:v>0.15384615384615385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13-814F-BA6E-1469B6776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457919"/>
        <c:axId val="27459631"/>
      </c:barChart>
      <c:catAx>
        <c:axId val="27457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59631"/>
        <c:crosses val="autoZero"/>
        <c:auto val="1"/>
        <c:lblAlgn val="ctr"/>
        <c:lblOffset val="100"/>
        <c:noMultiLvlLbl val="0"/>
      </c:catAx>
      <c:valAx>
        <c:axId val="2745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57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[AguilarLab4.xlsx]Pivot Table 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 '!$D$2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7F7-4E8E-AE9F-4C62DFD494A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7F7-4E8E-AE9F-4C62DFD494A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7F7-4E8E-AE9F-4C62DFD494A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7F7-4E8E-AE9F-4C62DFD494A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 '!$C$3:$C$7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F</c:v>
                </c:pt>
              </c:strCache>
            </c:strRef>
          </c:cat>
          <c:val>
            <c:numRef>
              <c:f>'Pivot Table '!$D$3:$D$7</c:f>
              <c:numCache>
                <c:formatCode>0.00%</c:formatCode>
                <c:ptCount val="4"/>
                <c:pt idx="0">
                  <c:v>0.28205128205128205</c:v>
                </c:pt>
                <c:pt idx="1">
                  <c:v>0.23076923076923078</c:v>
                </c:pt>
                <c:pt idx="2">
                  <c:v>0.33333333333333331</c:v>
                </c:pt>
                <c:pt idx="3">
                  <c:v>0.15384615384615385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D7-F243-A16B-B8EE2B858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Course</a:t>
            </a:r>
            <a:r>
              <a:rPr lang="en-US" baseline="0"/>
              <a:t> Final Percentages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887-4E90-A069-29F42940C67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887-4E90-A069-29F42940C67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887-4E90-A069-29F42940C67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887-4E90-A069-29F42940C67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887-4E90-A069-29F42940C67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887-4E90-A069-29F42940C675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8887-4E90-A069-29F42940C675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8887-4E90-A069-29F42940C675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8887-4E90-A069-29F42940C675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8887-4E90-A069-29F42940C675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8887-4E90-A069-29F42940C675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8887-4E90-A069-29F42940C675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8887-4E90-A069-29F42940C675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8887-4E90-A069-29F42940C675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8887-4E90-A069-29F42940C675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8887-4E90-A069-29F42940C675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8887-4E90-A069-29F42940C675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8887-4E90-A069-29F42940C675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8887-4E90-A069-29F42940C675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8887-4E90-A069-29F42940C675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8887-4E90-A069-29F42940C675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8887-4E90-A069-29F42940C675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8887-4E90-A069-29F42940C675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8887-4E90-A069-29F42940C675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8887-4E90-A069-29F42940C675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8887-4E90-A069-29F42940C675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8887-4E90-A069-29F42940C675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7-8887-4E90-A069-29F42940C675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9-8887-4E90-A069-29F42940C675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B-8887-4E90-A069-29F42940C675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D-8887-4E90-A069-29F42940C675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F-8887-4E90-A069-29F42940C675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1-8887-4E90-A069-29F42940C675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3-8887-4E90-A069-29F42940C675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5-8887-4E90-A069-29F42940C675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7-8887-4E90-A069-29F42940C675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9-8887-4E90-A069-29F42940C675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B-8887-4E90-A069-29F42940C675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D-8887-4E90-A069-29F42940C675}"/>
              </c:ext>
            </c:extLst>
          </c:dPt>
          <c:val>
            <c:numRef>
              <c:f>'Totals Chart'!$B$1:$B$39</c:f>
              <c:numCache>
                <c:formatCode>General</c:formatCode>
                <c:ptCount val="39"/>
                <c:pt idx="0">
                  <c:v>98.75</c:v>
                </c:pt>
                <c:pt idx="1">
                  <c:v>98.75</c:v>
                </c:pt>
                <c:pt idx="2">
                  <c:v>96.25</c:v>
                </c:pt>
                <c:pt idx="3">
                  <c:v>95</c:v>
                </c:pt>
                <c:pt idx="4">
                  <c:v>92.5</c:v>
                </c:pt>
                <c:pt idx="5">
                  <c:v>92.5</c:v>
                </c:pt>
                <c:pt idx="6">
                  <c:v>92.5</c:v>
                </c:pt>
                <c:pt idx="7">
                  <c:v>91.25</c:v>
                </c:pt>
                <c:pt idx="8">
                  <c:v>91.25</c:v>
                </c:pt>
                <c:pt idx="9">
                  <c:v>90</c:v>
                </c:pt>
                <c:pt idx="10">
                  <c:v>90</c:v>
                </c:pt>
                <c:pt idx="11">
                  <c:v>88.75</c:v>
                </c:pt>
                <c:pt idx="12">
                  <c:v>88.75</c:v>
                </c:pt>
                <c:pt idx="13">
                  <c:v>88.75</c:v>
                </c:pt>
                <c:pt idx="14">
                  <c:v>87.5</c:v>
                </c:pt>
                <c:pt idx="15">
                  <c:v>86.25</c:v>
                </c:pt>
                <c:pt idx="16">
                  <c:v>86.25</c:v>
                </c:pt>
                <c:pt idx="17">
                  <c:v>83.75</c:v>
                </c:pt>
                <c:pt idx="18">
                  <c:v>83.75</c:v>
                </c:pt>
                <c:pt idx="19">
                  <c:v>83.75</c:v>
                </c:pt>
                <c:pt idx="20">
                  <c:v>78.75</c:v>
                </c:pt>
                <c:pt idx="21">
                  <c:v>77.5</c:v>
                </c:pt>
                <c:pt idx="22">
                  <c:v>77.5</c:v>
                </c:pt>
                <c:pt idx="23">
                  <c:v>76.25</c:v>
                </c:pt>
                <c:pt idx="24">
                  <c:v>76.25</c:v>
                </c:pt>
                <c:pt idx="25">
                  <c:v>75</c:v>
                </c:pt>
                <c:pt idx="26">
                  <c:v>75</c:v>
                </c:pt>
                <c:pt idx="27">
                  <c:v>75</c:v>
                </c:pt>
                <c:pt idx="28">
                  <c:v>73.75</c:v>
                </c:pt>
                <c:pt idx="29">
                  <c:v>73.75</c:v>
                </c:pt>
                <c:pt idx="30">
                  <c:v>73.75</c:v>
                </c:pt>
                <c:pt idx="31">
                  <c:v>72.5</c:v>
                </c:pt>
                <c:pt idx="32">
                  <c:v>72.5</c:v>
                </c:pt>
                <c:pt idx="33">
                  <c:v>66.25</c:v>
                </c:pt>
                <c:pt idx="34">
                  <c:v>62.5</c:v>
                </c:pt>
                <c:pt idx="35">
                  <c:v>61.250000000000007</c:v>
                </c:pt>
                <c:pt idx="36">
                  <c:v>57.499999999999993</c:v>
                </c:pt>
                <c:pt idx="37">
                  <c:v>57.499999999999993</c:v>
                </c:pt>
                <c:pt idx="38">
                  <c:v>57.499999999999993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5D-D542-8636-BBA71268C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7733552"/>
        <c:axId val="1347596176"/>
      </c:barChart>
      <c:catAx>
        <c:axId val="13477335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596176"/>
        <c:crosses val="autoZero"/>
        <c:auto val="1"/>
        <c:lblAlgn val="ctr"/>
        <c:lblOffset val="100"/>
        <c:tickLblSkip val="1"/>
        <c:noMultiLvlLbl val="0"/>
      </c:catAx>
      <c:valAx>
        <c:axId val="134759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733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45</xdr:row>
      <xdr:rowOff>123825</xdr:rowOff>
    </xdr:from>
    <xdr:to>
      <xdr:col>5</xdr:col>
      <xdr:colOff>808990</xdr:colOff>
      <xdr:row>62</xdr:row>
      <xdr:rowOff>78740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F4E88F-9B49-42BC-BB32-8142575585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6350</xdr:colOff>
      <xdr:row>9</xdr:row>
      <xdr:rowOff>0</xdr:rowOff>
    </xdr:from>
    <xdr:to>
      <xdr:col>7</xdr:col>
      <xdr:colOff>285750</xdr:colOff>
      <xdr:row>22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1E527C-F154-9CB4-6DCA-38368C77BF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12700</xdr:colOff>
      <xdr:row>9</xdr:row>
      <xdr:rowOff>25400</xdr:rowOff>
    </xdr:from>
    <xdr:to>
      <xdr:col>13</xdr:col>
      <xdr:colOff>457200</xdr:colOff>
      <xdr:row>22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DE30D1-28B5-2456-EEA6-496B5D186B98}"/>
            </a:ext>
            <a:ext uri="{147F2762-F138-4A5C-976F-8EAC2B608ADB}">
              <a16:predDERef xmlns:a16="http://schemas.microsoft.com/office/drawing/2014/main" pred="{D51E527C-F154-9CB4-6DCA-38368C77BF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648970</xdr:colOff>
      <xdr:row>2</xdr:row>
      <xdr:rowOff>10795</xdr:rowOff>
    </xdr:from>
    <xdr:to>
      <xdr:col>10</xdr:col>
      <xdr:colOff>10160</xdr:colOff>
      <xdr:row>18</xdr:row>
      <xdr:rowOff>165735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E15757-2171-ACC3-54EB-F238984C9A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ily Cheng" refreshedDate="45958.780270949072" createdVersion="8" refreshedVersion="8" minRefreshableVersion="3" recordCount="39" xr:uid="{FE575D7E-E6C0-DF41-BCAF-076E3B3C00B2}">
  <cacheSource type="worksheet">
    <worksheetSource ref="A1:A40" sheet="Pivot Table "/>
  </cacheSource>
  <cacheFields count="1">
    <cacheField name="Grades " numFmtId="0">
      <sharedItems count="4">
        <s v="F"/>
        <s v="C"/>
        <s v="A"/>
        <s v="B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</r>
  <r>
    <x v="1"/>
  </r>
  <r>
    <x v="2"/>
  </r>
  <r>
    <x v="3"/>
  </r>
  <r>
    <x v="1"/>
  </r>
  <r>
    <x v="2"/>
  </r>
  <r>
    <x v="0"/>
  </r>
  <r>
    <x v="0"/>
  </r>
  <r>
    <x v="1"/>
  </r>
  <r>
    <x v="0"/>
  </r>
  <r>
    <x v="1"/>
  </r>
  <r>
    <x v="2"/>
  </r>
  <r>
    <x v="0"/>
  </r>
  <r>
    <x v="1"/>
  </r>
  <r>
    <x v="1"/>
  </r>
  <r>
    <x v="1"/>
  </r>
  <r>
    <x v="0"/>
  </r>
  <r>
    <x v="3"/>
  </r>
  <r>
    <x v="2"/>
  </r>
  <r>
    <x v="1"/>
  </r>
  <r>
    <x v="1"/>
  </r>
  <r>
    <x v="3"/>
  </r>
  <r>
    <x v="1"/>
  </r>
  <r>
    <x v="1"/>
  </r>
  <r>
    <x v="3"/>
  </r>
  <r>
    <x v="3"/>
  </r>
  <r>
    <x v="2"/>
  </r>
  <r>
    <x v="1"/>
  </r>
  <r>
    <x v="2"/>
  </r>
  <r>
    <x v="1"/>
  </r>
  <r>
    <x v="3"/>
  </r>
  <r>
    <x v="3"/>
  </r>
  <r>
    <x v="3"/>
  </r>
  <r>
    <x v="2"/>
  </r>
  <r>
    <x v="2"/>
  </r>
  <r>
    <x v="2"/>
  </r>
  <r>
    <x v="2"/>
  </r>
  <r>
    <x v="3"/>
  </r>
  <r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EB9DBB-28E7-B64B-8073-118DCD07E958}" name="PivotTable1" cacheId="88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C2:D7" firstHeaderRow="1" firstDataRow="1" firstDataCol="1"/>
  <pivotFields count="1">
    <pivotField axis="axisRow" dataField="1" showAll="0">
      <items count="5">
        <item x="2"/>
        <item x="3"/>
        <item x="1"/>
        <item x="0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Grades " fld="0" subtotal="count" showDataAs="percentOfTotal" baseField="0" baseItem="0" numFmtId="1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AF855-719C-3F4D-B212-EE40E81BB890}">
  <dimension ref="A1:K50"/>
  <sheetViews>
    <sheetView tabSelected="1" topLeftCell="A26" zoomScale="85" zoomScaleNormal="150" workbookViewId="0">
      <selection activeCell="B1" sqref="B1:B45"/>
    </sheetView>
  </sheetViews>
  <sheetFormatPr defaultColWidth="11" defaultRowHeight="15.95"/>
  <cols>
    <col min="1" max="1" width="25.375" bestFit="1" customWidth="1"/>
    <col min="3" max="6" width="10.875" style="1"/>
    <col min="7" max="7" width="17.625" bestFit="1" customWidth="1"/>
  </cols>
  <sheetData>
    <row r="1" spans="1:11" ht="15.75">
      <c r="A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 ht="15.75">
      <c r="A2" s="7" t="s">
        <v>9</v>
      </c>
      <c r="B2" s="9" t="s">
        <v>10</v>
      </c>
      <c r="C2" s="1">
        <v>13</v>
      </c>
      <c r="D2" s="1">
        <v>15</v>
      </c>
      <c r="E2" s="1">
        <v>14</v>
      </c>
      <c r="F2" s="1">
        <v>11</v>
      </c>
      <c r="G2">
        <f>SUM(C2:F2)</f>
        <v>53</v>
      </c>
      <c r="H2" t="str">
        <f>IF(G2&gt;=MaxScore*70%, "P", "NP")</f>
        <v>NP</v>
      </c>
      <c r="I2" t="str">
        <f>IF(G2&gt;=MaxScore*70%, IF(G2&gt;=MaxScore*80%, IF(G2&gt;=MaxScore*90%, "A", "B"), "C"), "F")</f>
        <v>F</v>
      </c>
    </row>
    <row r="3" spans="1:11" ht="15.75">
      <c r="A3" s="8" t="s">
        <v>11</v>
      </c>
      <c r="B3" s="9" t="s">
        <v>12</v>
      </c>
      <c r="C3" s="1">
        <v>15</v>
      </c>
      <c r="D3" s="1">
        <v>17</v>
      </c>
      <c r="E3" s="1">
        <v>13</v>
      </c>
      <c r="F3" s="1">
        <v>15</v>
      </c>
      <c r="G3">
        <f t="shared" ref="G3:G40" si="0">SUM(C3:F3)</f>
        <v>60</v>
      </c>
      <c r="H3" t="str">
        <f t="shared" ref="H3:H40" si="1">IF(G3&gt;=MaxScore*70%, "P", "NP")</f>
        <v>P</v>
      </c>
      <c r="I3" t="str">
        <f>IF(G3&gt;=MaxScore*70%, IF(G3&gt;=MaxScore*80%, IF(G3&gt;=MaxScore*90%, "A", "B"), "C"), "F")</f>
        <v>C</v>
      </c>
    </row>
    <row r="4" spans="1:11" ht="15.75">
      <c r="A4" s="8" t="s">
        <v>13</v>
      </c>
      <c r="B4" s="9" t="s">
        <v>14</v>
      </c>
      <c r="C4" s="1">
        <v>17</v>
      </c>
      <c r="D4" s="1">
        <v>18</v>
      </c>
      <c r="E4" s="1">
        <v>18</v>
      </c>
      <c r="F4" s="1">
        <v>19</v>
      </c>
      <c r="G4">
        <f t="shared" si="0"/>
        <v>72</v>
      </c>
      <c r="H4" t="str">
        <f t="shared" si="1"/>
        <v>P</v>
      </c>
      <c r="I4" t="str">
        <f>IF(G4&gt;=MaxScore*70%, IF(G4&gt;=MaxScore*80%, IF(G4&gt;=MaxScore*90%, "A", "B"), "C"), "F")</f>
        <v>A</v>
      </c>
    </row>
    <row r="5" spans="1:11" ht="15.75">
      <c r="A5" s="8" t="s">
        <v>15</v>
      </c>
      <c r="B5" s="9" t="s">
        <v>16</v>
      </c>
      <c r="C5" s="1">
        <v>15</v>
      </c>
      <c r="D5" s="1">
        <v>18</v>
      </c>
      <c r="E5" s="1">
        <v>20</v>
      </c>
      <c r="F5" s="1">
        <v>17</v>
      </c>
      <c r="G5">
        <f t="shared" si="0"/>
        <v>70</v>
      </c>
      <c r="H5" t="str">
        <f t="shared" si="1"/>
        <v>P</v>
      </c>
      <c r="I5" t="str">
        <f>IF(G5&gt;=MaxScore*70%, IF(G5&gt;=MaxScore*80%, IF(G5&gt;=MaxScore*90%, "A", "B"), "C"), "F")</f>
        <v>B</v>
      </c>
    </row>
    <row r="6" spans="1:11" ht="15.75">
      <c r="A6" s="8" t="s">
        <v>17</v>
      </c>
      <c r="B6" s="9" t="s">
        <v>18</v>
      </c>
      <c r="C6" s="1">
        <v>12</v>
      </c>
      <c r="D6" s="1">
        <v>17</v>
      </c>
      <c r="E6" s="1">
        <v>16</v>
      </c>
      <c r="F6" s="1">
        <v>14</v>
      </c>
      <c r="G6">
        <f t="shared" si="0"/>
        <v>59</v>
      </c>
      <c r="H6" t="str">
        <f t="shared" si="1"/>
        <v>P</v>
      </c>
      <c r="I6" t="str">
        <f>IF(G6&gt;=MaxScore*70%, IF(G6&gt;=MaxScore*80%, IF(G6&gt;=MaxScore*90%, "A", "B"), "C"), "F")</f>
        <v>C</v>
      </c>
    </row>
    <row r="7" spans="1:11" ht="15.75">
      <c r="A7" s="8" t="s">
        <v>19</v>
      </c>
      <c r="B7" s="9" t="s">
        <v>20</v>
      </c>
      <c r="C7" s="1">
        <v>19</v>
      </c>
      <c r="D7" s="1">
        <v>20</v>
      </c>
      <c r="E7" s="1">
        <v>19</v>
      </c>
      <c r="F7" s="1">
        <v>19</v>
      </c>
      <c r="G7">
        <f t="shared" si="0"/>
        <v>77</v>
      </c>
      <c r="H7" t="str">
        <f t="shared" si="1"/>
        <v>P</v>
      </c>
      <c r="I7" t="str">
        <f>IF(G7&gt;=MaxScore*70%, IF(G7&gt;=MaxScore*80%, IF(G7&gt;=MaxScore*90%, "A", "B"), "C"), "F")</f>
        <v>A</v>
      </c>
      <c r="K7" s="6"/>
    </row>
    <row r="8" spans="1:11" ht="15.75">
      <c r="A8" s="8" t="s">
        <v>21</v>
      </c>
      <c r="B8" s="9" t="s">
        <v>22</v>
      </c>
      <c r="C8" s="1">
        <v>13</v>
      </c>
      <c r="D8" s="1">
        <v>15</v>
      </c>
      <c r="E8" s="1" t="s">
        <v>23</v>
      </c>
      <c r="F8" s="1">
        <v>18</v>
      </c>
      <c r="G8">
        <f t="shared" si="0"/>
        <v>46</v>
      </c>
      <c r="H8" t="str">
        <f t="shared" si="1"/>
        <v>NP</v>
      </c>
      <c r="I8" t="str">
        <f>IF(G8&gt;=MaxScore*70%, IF(G8&gt;=MaxScore*80%, IF(G8&gt;=MaxScore*90%, "A", "B"), "C"), "F")</f>
        <v>F</v>
      </c>
    </row>
    <row r="9" spans="1:11" ht="15.75">
      <c r="A9" s="8" t="s">
        <v>24</v>
      </c>
      <c r="B9" s="9" t="s">
        <v>25</v>
      </c>
      <c r="C9" s="1">
        <v>8</v>
      </c>
      <c r="D9" s="1">
        <v>15</v>
      </c>
      <c r="E9" s="1">
        <v>10</v>
      </c>
      <c r="F9" s="1">
        <v>16</v>
      </c>
      <c r="G9">
        <f t="shared" si="0"/>
        <v>49</v>
      </c>
      <c r="H9" t="str">
        <f t="shared" si="1"/>
        <v>NP</v>
      </c>
      <c r="I9" t="str">
        <f>IF(G9&gt;=MaxScore*70%, IF(G9&gt;=MaxScore*80%, IF(G9&gt;=MaxScore*90%, "A", "B"), "C"), "F")</f>
        <v>F</v>
      </c>
    </row>
    <row r="10" spans="1:11" ht="15.75">
      <c r="A10" s="8" t="s">
        <v>26</v>
      </c>
      <c r="B10" s="9" t="s">
        <v>27</v>
      </c>
      <c r="C10" s="1">
        <v>16</v>
      </c>
      <c r="D10" s="1">
        <v>18</v>
      </c>
      <c r="E10" s="1">
        <v>14</v>
      </c>
      <c r="F10" s="1">
        <v>12</v>
      </c>
      <c r="G10">
        <f t="shared" si="0"/>
        <v>60</v>
      </c>
      <c r="H10" t="str">
        <f t="shared" si="1"/>
        <v>P</v>
      </c>
      <c r="I10" t="str">
        <f>IF(G10&gt;=MaxScore*70%, IF(G10&gt;=MaxScore*80%, IF(G10&gt;=MaxScore*90%, "A", "B"), "C"), "F")</f>
        <v>C</v>
      </c>
    </row>
    <row r="11" spans="1:11" ht="15.75">
      <c r="A11" s="8" t="s">
        <v>28</v>
      </c>
      <c r="B11" s="9" t="s">
        <v>29</v>
      </c>
      <c r="C11" s="1">
        <v>14</v>
      </c>
      <c r="D11" s="1">
        <v>17</v>
      </c>
      <c r="E11" s="1" t="s">
        <v>23</v>
      </c>
      <c r="F11" s="1">
        <v>15</v>
      </c>
      <c r="G11">
        <f t="shared" si="0"/>
        <v>46</v>
      </c>
      <c r="H11" t="str">
        <f t="shared" si="1"/>
        <v>NP</v>
      </c>
      <c r="I11" t="str">
        <f>IF(G11&gt;=MaxScore*70%, IF(G11&gt;=MaxScore*80%, IF(G11&gt;=MaxScore*90%, "A", "B"), "C"), "F")</f>
        <v>F</v>
      </c>
    </row>
    <row r="12" spans="1:11" ht="15.75">
      <c r="A12" s="8" t="s">
        <v>30</v>
      </c>
      <c r="B12" s="9" t="s">
        <v>31</v>
      </c>
      <c r="C12" s="1">
        <v>15</v>
      </c>
      <c r="D12" s="1">
        <v>17</v>
      </c>
      <c r="E12" s="1">
        <v>15</v>
      </c>
      <c r="F12" s="1">
        <v>15</v>
      </c>
      <c r="G12">
        <f t="shared" si="0"/>
        <v>62</v>
      </c>
      <c r="H12" t="str">
        <f t="shared" si="1"/>
        <v>P</v>
      </c>
      <c r="I12" t="str">
        <f>IF(G12&gt;=MaxScore*70%, IF(G12&gt;=MaxScore*80%, IF(G12&gt;=MaxScore*90%, "A", "B"), "C"), "F")</f>
        <v>C</v>
      </c>
    </row>
    <row r="13" spans="1:11" ht="15.75">
      <c r="A13" s="8" t="s">
        <v>32</v>
      </c>
      <c r="B13" s="9" t="s">
        <v>33</v>
      </c>
      <c r="C13" s="1">
        <v>20</v>
      </c>
      <c r="D13" s="1">
        <v>20</v>
      </c>
      <c r="E13" s="1">
        <v>19</v>
      </c>
      <c r="F13" s="1">
        <v>20</v>
      </c>
      <c r="G13">
        <f t="shared" si="0"/>
        <v>79</v>
      </c>
      <c r="H13" t="str">
        <f t="shared" si="1"/>
        <v>P</v>
      </c>
      <c r="I13" t="str">
        <f>IF(G13&gt;=MaxScore*70%, IF(G13&gt;=MaxScore*80%, IF(G13&gt;=MaxScore*90%, "A", "B"), "C"), "F")</f>
        <v>A</v>
      </c>
    </row>
    <row r="14" spans="1:11" ht="15.75">
      <c r="A14" s="8" t="s">
        <v>34</v>
      </c>
      <c r="B14" s="9" t="s">
        <v>35</v>
      </c>
      <c r="C14" s="1">
        <v>15</v>
      </c>
      <c r="D14" s="1">
        <v>6</v>
      </c>
      <c r="E14" s="1">
        <v>17</v>
      </c>
      <c r="F14" s="1">
        <v>8</v>
      </c>
      <c r="G14">
        <f t="shared" si="0"/>
        <v>46</v>
      </c>
      <c r="H14" t="str">
        <f t="shared" si="1"/>
        <v>NP</v>
      </c>
      <c r="I14" t="str">
        <f>IF(G14&gt;=MaxScore*70%, IF(G14&gt;=MaxScore*80%, IF(G14&gt;=MaxScore*90%, "A", "B"), "C"), "F")</f>
        <v>F</v>
      </c>
    </row>
    <row r="15" spans="1:11" ht="15.75">
      <c r="A15" s="8" t="s">
        <v>36</v>
      </c>
      <c r="B15" s="9" t="s">
        <v>37</v>
      </c>
      <c r="C15" s="1">
        <v>17</v>
      </c>
      <c r="D15" s="1">
        <v>17</v>
      </c>
      <c r="E15" s="1">
        <v>12</v>
      </c>
      <c r="F15" s="1">
        <v>12</v>
      </c>
      <c r="G15">
        <f t="shared" si="0"/>
        <v>58</v>
      </c>
      <c r="H15" t="str">
        <f t="shared" si="1"/>
        <v>P</v>
      </c>
      <c r="I15" t="str">
        <f>IF(G15&gt;=MaxScore*70%, IF(G15&gt;=MaxScore*80%, IF(G15&gt;=MaxScore*90%, "A", "B"), "C"), "F")</f>
        <v>C</v>
      </c>
    </row>
    <row r="16" spans="1:11" ht="15.75">
      <c r="A16" s="8" t="s">
        <v>38</v>
      </c>
      <c r="B16" s="9" t="s">
        <v>39</v>
      </c>
      <c r="C16" s="1">
        <v>15</v>
      </c>
      <c r="D16" s="1">
        <v>13</v>
      </c>
      <c r="E16" s="1">
        <v>18</v>
      </c>
      <c r="F16" s="1">
        <v>14</v>
      </c>
      <c r="G16">
        <f t="shared" si="0"/>
        <v>60</v>
      </c>
      <c r="H16" t="str">
        <f t="shared" si="1"/>
        <v>P</v>
      </c>
      <c r="I16" t="str">
        <f>IF(G16&gt;=MaxScore*70%, IF(G16&gt;=MaxScore*80%, IF(G16&gt;=MaxScore*90%, "A", "B"), "C"), "F")</f>
        <v>C</v>
      </c>
    </row>
    <row r="17" spans="1:9" ht="15.75">
      <c r="A17" s="8" t="s">
        <v>40</v>
      </c>
      <c r="B17" s="9" t="s">
        <v>41</v>
      </c>
      <c r="C17" s="1">
        <v>10</v>
      </c>
      <c r="D17" s="1">
        <v>19</v>
      </c>
      <c r="E17" s="1">
        <v>13</v>
      </c>
      <c r="F17" s="1">
        <v>19</v>
      </c>
      <c r="G17">
        <f t="shared" si="0"/>
        <v>61</v>
      </c>
      <c r="H17" t="str">
        <f t="shared" si="1"/>
        <v>P</v>
      </c>
      <c r="I17" t="str">
        <f>IF(G17&gt;=MaxScore*70%, IF(G17&gt;=MaxScore*80%, IF(G17&gt;=MaxScore*90%, "A", "B"), "C"), "F")</f>
        <v>C</v>
      </c>
    </row>
    <row r="18" spans="1:9" ht="15.75">
      <c r="A18" s="8" t="s">
        <v>42</v>
      </c>
      <c r="B18" s="9" t="s">
        <v>43</v>
      </c>
      <c r="C18" s="1">
        <v>11</v>
      </c>
      <c r="D18" s="1">
        <v>13</v>
      </c>
      <c r="E18" s="1">
        <v>15</v>
      </c>
      <c r="F18" s="1">
        <v>11</v>
      </c>
      <c r="G18">
        <f t="shared" si="0"/>
        <v>50</v>
      </c>
      <c r="H18" t="str">
        <f t="shared" si="1"/>
        <v>NP</v>
      </c>
      <c r="I18" t="str">
        <f>IF(G18&gt;=MaxScore*70%, IF(G18&gt;=MaxScore*80%, IF(G18&gt;=MaxScore*90%, "A", "B"), "C"), "F")</f>
        <v>F</v>
      </c>
    </row>
    <row r="19" spans="1:9" ht="15.75">
      <c r="A19" s="8" t="s">
        <v>44</v>
      </c>
      <c r="B19" s="9" t="s">
        <v>45</v>
      </c>
      <c r="C19" s="1">
        <v>17</v>
      </c>
      <c r="D19" s="1">
        <v>18</v>
      </c>
      <c r="E19" s="1">
        <v>12</v>
      </c>
      <c r="F19" s="1">
        <v>20</v>
      </c>
      <c r="G19">
        <f t="shared" si="0"/>
        <v>67</v>
      </c>
      <c r="H19" t="str">
        <f t="shared" si="1"/>
        <v>P</v>
      </c>
      <c r="I19" t="str">
        <f>IF(G19&gt;=MaxScore*70%, IF(G19&gt;=MaxScore*80%, IF(G19&gt;=MaxScore*90%, "A", "B"), "C"), "F")</f>
        <v>B</v>
      </c>
    </row>
    <row r="20" spans="1:9" ht="15.75">
      <c r="A20" s="8" t="s">
        <v>46</v>
      </c>
      <c r="B20" s="9" t="s">
        <v>47</v>
      </c>
      <c r="C20" s="1">
        <v>18</v>
      </c>
      <c r="D20" s="1">
        <v>17</v>
      </c>
      <c r="E20" s="1">
        <v>17</v>
      </c>
      <c r="F20" s="1">
        <v>20</v>
      </c>
      <c r="G20">
        <f t="shared" si="0"/>
        <v>72</v>
      </c>
      <c r="H20" t="str">
        <f t="shared" si="1"/>
        <v>P</v>
      </c>
      <c r="I20" t="str">
        <f>IF(G20&gt;=MaxScore*70%, IF(G20&gt;=MaxScore*80%, IF(G20&gt;=MaxScore*90%, "A", "B"), "C"), "F")</f>
        <v>A</v>
      </c>
    </row>
    <row r="21" spans="1:9" ht="15.75">
      <c r="A21" s="8" t="s">
        <v>48</v>
      </c>
      <c r="B21" s="9" t="s">
        <v>49</v>
      </c>
      <c r="C21" s="1">
        <v>19</v>
      </c>
      <c r="D21" s="1">
        <v>12</v>
      </c>
      <c r="E21" s="1">
        <v>18</v>
      </c>
      <c r="F21" s="1">
        <v>14</v>
      </c>
      <c r="G21">
        <f t="shared" si="0"/>
        <v>63</v>
      </c>
      <c r="H21" t="str">
        <f t="shared" si="1"/>
        <v>P</v>
      </c>
      <c r="I21" t="str">
        <f>IF(G21&gt;=MaxScore*70%, IF(G21&gt;=MaxScore*80%, IF(G21&gt;=MaxScore*90%, "A", "B"), "C"), "F")</f>
        <v>C</v>
      </c>
    </row>
    <row r="22" spans="1:9" ht="15.75">
      <c r="A22" s="8" t="s">
        <v>50</v>
      </c>
      <c r="B22" s="9" t="s">
        <v>51</v>
      </c>
      <c r="C22" s="1">
        <v>10</v>
      </c>
      <c r="D22" s="1">
        <v>13</v>
      </c>
      <c r="E22" s="1">
        <v>16</v>
      </c>
      <c r="F22" s="1">
        <v>19</v>
      </c>
      <c r="G22">
        <f t="shared" si="0"/>
        <v>58</v>
      </c>
      <c r="H22" t="str">
        <f t="shared" si="1"/>
        <v>P</v>
      </c>
      <c r="I22" t="str">
        <f>IF(G22&gt;=MaxScore*70%, IF(G22&gt;=MaxScore*80%, IF(G22&gt;=MaxScore*90%, "A", "B"), "C"), "F")</f>
        <v>C</v>
      </c>
    </row>
    <row r="23" spans="1:9" ht="15.75">
      <c r="A23" s="8" t="s">
        <v>52</v>
      </c>
      <c r="B23" s="9" t="s">
        <v>53</v>
      </c>
      <c r="C23" s="1">
        <v>18</v>
      </c>
      <c r="D23" s="1">
        <v>19</v>
      </c>
      <c r="E23" s="1">
        <v>17</v>
      </c>
      <c r="F23" s="1">
        <v>17</v>
      </c>
      <c r="G23">
        <f t="shared" si="0"/>
        <v>71</v>
      </c>
      <c r="H23" t="str">
        <f t="shared" si="1"/>
        <v>P</v>
      </c>
      <c r="I23" t="str">
        <f>IF(G23&gt;=MaxScore*70%, IF(G23&gt;=MaxScore*80%, IF(G23&gt;=MaxScore*90%, "A", "B"), "C"), "F")</f>
        <v>B</v>
      </c>
    </row>
    <row r="24" spans="1:9" ht="15.75">
      <c r="A24" s="8" t="s">
        <v>54</v>
      </c>
      <c r="B24" s="9" t="s">
        <v>55</v>
      </c>
      <c r="C24" s="1">
        <v>19</v>
      </c>
      <c r="D24" s="1">
        <v>13</v>
      </c>
      <c r="E24" s="1">
        <v>14</v>
      </c>
      <c r="F24" s="1">
        <v>15</v>
      </c>
      <c r="G24">
        <f t="shared" si="0"/>
        <v>61</v>
      </c>
      <c r="H24" t="str">
        <f t="shared" si="1"/>
        <v>P</v>
      </c>
      <c r="I24" t="str">
        <f>IF(G24&gt;=MaxScore*70%, IF(G24&gt;=MaxScore*80%, IF(G24&gt;=MaxScore*90%, "A", "B"), "C"), "F")</f>
        <v>C</v>
      </c>
    </row>
    <row r="25" spans="1:9" ht="15.75">
      <c r="A25" s="8" t="s">
        <v>56</v>
      </c>
      <c r="B25" s="9" t="s">
        <v>57</v>
      </c>
      <c r="C25" s="1">
        <v>13</v>
      </c>
      <c r="D25" s="1">
        <v>19</v>
      </c>
      <c r="E25" s="1">
        <v>14</v>
      </c>
      <c r="F25" s="1">
        <v>13</v>
      </c>
      <c r="G25">
        <f t="shared" si="0"/>
        <v>59</v>
      </c>
      <c r="H25" t="str">
        <f t="shared" si="1"/>
        <v>P</v>
      </c>
      <c r="I25" t="str">
        <f>IF(G25&gt;=MaxScore*70%, IF(G25&gt;=MaxScore*80%, IF(G25&gt;=MaxScore*90%, "A", "B"), "C"), "F")</f>
        <v>C</v>
      </c>
    </row>
    <row r="26" spans="1:9" ht="15.75">
      <c r="A26" s="8" t="s">
        <v>58</v>
      </c>
      <c r="B26" s="9" t="s">
        <v>59</v>
      </c>
      <c r="C26" s="1">
        <v>19</v>
      </c>
      <c r="D26" s="1">
        <v>13</v>
      </c>
      <c r="E26" s="1">
        <v>17</v>
      </c>
      <c r="F26" s="1">
        <v>18</v>
      </c>
      <c r="G26">
        <f t="shared" si="0"/>
        <v>67</v>
      </c>
      <c r="H26" t="str">
        <f t="shared" si="1"/>
        <v>P</v>
      </c>
      <c r="I26" t="str">
        <f>IF(G26&gt;=MaxScore*70%, IF(G26&gt;=MaxScore*80%, IF(G26&gt;=MaxScore*90%, "A", "B"), "C"), "F")</f>
        <v>B</v>
      </c>
    </row>
    <row r="27" spans="1:9" ht="15.75">
      <c r="A27" s="8" t="s">
        <v>60</v>
      </c>
      <c r="B27" s="9" t="s">
        <v>61</v>
      </c>
      <c r="C27" s="1">
        <v>13</v>
      </c>
      <c r="D27" s="1">
        <v>19</v>
      </c>
      <c r="E27" s="1">
        <v>18</v>
      </c>
      <c r="F27" s="1">
        <v>19</v>
      </c>
      <c r="G27">
        <f t="shared" si="0"/>
        <v>69</v>
      </c>
      <c r="H27" t="str">
        <f t="shared" si="1"/>
        <v>P</v>
      </c>
      <c r="I27" t="str">
        <f>IF(G27&gt;=MaxScore*70%, IF(G27&gt;=MaxScore*80%, IF(G27&gt;=MaxScore*90%, "A", "B"), "C"), "F")</f>
        <v>B</v>
      </c>
    </row>
    <row r="28" spans="1:9" ht="15.75">
      <c r="A28" s="8" t="s">
        <v>62</v>
      </c>
      <c r="B28" s="9" t="s">
        <v>63</v>
      </c>
      <c r="C28" s="1">
        <v>16</v>
      </c>
      <c r="D28" s="1">
        <v>20</v>
      </c>
      <c r="E28" s="1">
        <v>19</v>
      </c>
      <c r="F28" s="1">
        <v>19</v>
      </c>
      <c r="G28">
        <f t="shared" si="0"/>
        <v>74</v>
      </c>
      <c r="H28" t="str">
        <f t="shared" si="1"/>
        <v>P</v>
      </c>
      <c r="I28" t="str">
        <f>IF(G28&gt;=MaxScore*70%, IF(G28&gt;=MaxScore*80%, IF(G28&gt;=MaxScore*90%, "A", "B"), "C"), "F")</f>
        <v>A</v>
      </c>
    </row>
    <row r="29" spans="1:9" ht="15.75">
      <c r="A29" s="8" t="s">
        <v>64</v>
      </c>
      <c r="B29" s="9" t="s">
        <v>65</v>
      </c>
      <c r="C29" s="1">
        <v>19</v>
      </c>
      <c r="D29" s="1">
        <v>0</v>
      </c>
      <c r="E29" s="1">
        <v>20</v>
      </c>
      <c r="F29" s="1">
        <v>20</v>
      </c>
      <c r="G29">
        <f t="shared" si="0"/>
        <v>59</v>
      </c>
      <c r="H29" t="str">
        <f t="shared" si="1"/>
        <v>P</v>
      </c>
      <c r="I29" t="str">
        <f>IF(G29&gt;=MaxScore*70%, IF(G29&gt;=MaxScore*80%, IF(G29&gt;=MaxScore*90%, "A", "B"), "C"), "F")</f>
        <v>C</v>
      </c>
    </row>
    <row r="30" spans="1:9" ht="15.75">
      <c r="A30" s="8" t="s">
        <v>66</v>
      </c>
      <c r="B30" s="9" t="s">
        <v>67</v>
      </c>
      <c r="C30" s="1">
        <v>18</v>
      </c>
      <c r="D30" s="1">
        <v>19</v>
      </c>
      <c r="E30" s="1">
        <v>20</v>
      </c>
      <c r="F30" s="1">
        <v>19</v>
      </c>
      <c r="G30">
        <f t="shared" si="0"/>
        <v>76</v>
      </c>
      <c r="H30" t="str">
        <f t="shared" si="1"/>
        <v>P</v>
      </c>
      <c r="I30" t="str">
        <f>IF(G30&gt;=MaxScore*70%, IF(G30&gt;=MaxScore*80%, IF(G30&gt;=MaxScore*90%, "A", "B"), "C"), "F")</f>
        <v>A</v>
      </c>
    </row>
    <row r="31" spans="1:9" ht="15.75">
      <c r="A31" s="8" t="s">
        <v>68</v>
      </c>
      <c r="B31" s="9" t="s">
        <v>69</v>
      </c>
      <c r="C31" s="1">
        <v>13</v>
      </c>
      <c r="D31" s="1">
        <v>18</v>
      </c>
      <c r="E31" s="1">
        <v>17</v>
      </c>
      <c r="F31" s="1">
        <v>14</v>
      </c>
      <c r="G31">
        <f t="shared" si="0"/>
        <v>62</v>
      </c>
      <c r="H31" t="str">
        <f t="shared" si="1"/>
        <v>P</v>
      </c>
      <c r="I31" t="str">
        <f>IF(G31&gt;=MaxScore*70%, IF(G31&gt;=MaxScore*80%, IF(G31&gt;=MaxScore*90%, "A", "B"), "C"), "F")</f>
        <v>C</v>
      </c>
    </row>
    <row r="32" spans="1:9" ht="15.75">
      <c r="A32" s="8" t="s">
        <v>70</v>
      </c>
      <c r="B32" s="9" t="s">
        <v>71</v>
      </c>
      <c r="C32" s="1">
        <v>17</v>
      </c>
      <c r="D32" s="1">
        <v>17</v>
      </c>
      <c r="E32" s="1">
        <v>18</v>
      </c>
      <c r="F32" s="1">
        <v>19</v>
      </c>
      <c r="G32">
        <f t="shared" si="0"/>
        <v>71</v>
      </c>
      <c r="H32" t="str">
        <f t="shared" si="1"/>
        <v>P</v>
      </c>
      <c r="I32" t="str">
        <f>IF(G32&gt;=MaxScore*70%, IF(G32&gt;=MaxScore*80%, IF(G32&gt;=MaxScore*90%, "A", "B"), "C"), "F")</f>
        <v>B</v>
      </c>
    </row>
    <row r="33" spans="1:9" ht="15.75">
      <c r="A33" s="8" t="s">
        <v>72</v>
      </c>
      <c r="B33" s="9" t="s">
        <v>73</v>
      </c>
      <c r="C33" s="1">
        <v>19</v>
      </c>
      <c r="D33" s="1">
        <v>16</v>
      </c>
      <c r="E33" s="1">
        <v>18</v>
      </c>
      <c r="F33" s="1">
        <v>18</v>
      </c>
      <c r="G33">
        <f t="shared" si="0"/>
        <v>71</v>
      </c>
      <c r="H33" t="str">
        <f t="shared" si="1"/>
        <v>P</v>
      </c>
    </row>
    <row r="34" spans="1:9" ht="15.75">
      <c r="A34" s="8" t="s">
        <v>74</v>
      </c>
      <c r="B34" s="9" t="s">
        <v>75</v>
      </c>
      <c r="C34" s="1">
        <v>11</v>
      </c>
      <c r="D34" s="1">
        <v>19</v>
      </c>
      <c r="E34" s="1">
        <v>19</v>
      </c>
      <c r="F34" s="1">
        <v>18</v>
      </c>
      <c r="G34">
        <f t="shared" si="0"/>
        <v>67</v>
      </c>
      <c r="H34" t="str">
        <f t="shared" si="1"/>
        <v>P</v>
      </c>
      <c r="I34" t="str">
        <f>IF(G34&gt;=MaxScore*70%, IF(G34&gt;=MaxScore*80%, IF(G34&gt;=MaxScore*90%, "A", "B"), "C"), "F")</f>
        <v>B</v>
      </c>
    </row>
    <row r="35" spans="1:9" ht="15.75">
      <c r="A35" s="8" t="s">
        <v>76</v>
      </c>
      <c r="B35" s="9" t="s">
        <v>77</v>
      </c>
      <c r="C35" s="1">
        <v>19</v>
      </c>
      <c r="D35" s="1">
        <v>16</v>
      </c>
      <c r="E35" s="1">
        <v>19</v>
      </c>
      <c r="F35" s="1">
        <v>19</v>
      </c>
      <c r="G35">
        <f t="shared" si="0"/>
        <v>73</v>
      </c>
      <c r="H35" t="str">
        <f t="shared" si="1"/>
        <v>P</v>
      </c>
      <c r="I35" t="str">
        <f>IF(G35&gt;=MaxScore*70%, IF(G35&gt;=MaxScore*80%, IF(G35&gt;=MaxScore*90%, "A", "B"), "C"), "F")</f>
        <v>A</v>
      </c>
    </row>
    <row r="36" spans="1:9" ht="15.75">
      <c r="A36" s="8" t="s">
        <v>78</v>
      </c>
      <c r="B36" s="9" t="s">
        <v>79</v>
      </c>
      <c r="C36" s="1">
        <v>16</v>
      </c>
      <c r="D36" s="1">
        <v>20</v>
      </c>
      <c r="E36" s="1">
        <v>19</v>
      </c>
      <c r="F36" s="1">
        <v>19</v>
      </c>
      <c r="G36">
        <f t="shared" si="0"/>
        <v>74</v>
      </c>
      <c r="H36" t="str">
        <f t="shared" si="1"/>
        <v>P</v>
      </c>
      <c r="I36" t="str">
        <f>IF(G36&gt;=MaxScore*70%, IF(G36&gt;=MaxScore*80%, IF(G36&gt;=MaxScore*90%, "A", "B"), "C"), "F")</f>
        <v>A</v>
      </c>
    </row>
    <row r="37" spans="1:9" ht="15.75">
      <c r="A37" s="8" t="s">
        <v>80</v>
      </c>
      <c r="B37" s="9" t="s">
        <v>81</v>
      </c>
      <c r="C37" s="1">
        <v>20</v>
      </c>
      <c r="D37" s="1">
        <v>19</v>
      </c>
      <c r="E37" s="1">
        <v>20</v>
      </c>
      <c r="F37" s="1">
        <v>20</v>
      </c>
      <c r="G37">
        <f t="shared" si="0"/>
        <v>79</v>
      </c>
      <c r="H37" t="str">
        <f t="shared" si="1"/>
        <v>P</v>
      </c>
      <c r="I37" t="str">
        <f>IF(G37&gt;=MaxScore*70%, IF(G37&gt;=MaxScore*80%, IF(G37&gt;=MaxScore*90%, "A", "B"), "C"), "F")</f>
        <v>A</v>
      </c>
    </row>
    <row r="38" spans="1:9" ht="15.75">
      <c r="A38" s="8" t="s">
        <v>82</v>
      </c>
      <c r="B38" s="9" t="s">
        <v>83</v>
      </c>
      <c r="C38" s="1">
        <v>18</v>
      </c>
      <c r="D38" s="1">
        <v>19</v>
      </c>
      <c r="E38" s="1">
        <v>16</v>
      </c>
      <c r="F38" s="1">
        <v>20</v>
      </c>
      <c r="G38">
        <f t="shared" si="0"/>
        <v>73</v>
      </c>
      <c r="H38" t="str">
        <f t="shared" si="1"/>
        <v>P</v>
      </c>
      <c r="I38" t="str">
        <f>IF(G38&gt;=MaxScore*70%, IF(G38&gt;=MaxScore*80%, IF(G38&gt;=MaxScore*90%, "A", "B"), "C"), "F")</f>
        <v>A</v>
      </c>
    </row>
    <row r="39" spans="1:9" ht="15.75">
      <c r="A39" s="8" t="s">
        <v>84</v>
      </c>
      <c r="B39" s="9" t="s">
        <v>85</v>
      </c>
      <c r="C39" s="1">
        <v>16</v>
      </c>
      <c r="D39" s="1">
        <v>15</v>
      </c>
      <c r="E39" s="1">
        <v>19</v>
      </c>
      <c r="F39" s="1">
        <v>19</v>
      </c>
      <c r="G39">
        <f t="shared" si="0"/>
        <v>69</v>
      </c>
      <c r="H39" t="str">
        <f t="shared" si="1"/>
        <v>P</v>
      </c>
      <c r="I39" t="str">
        <f>IF(G39&gt;=MaxScore*70%, IF(G39&gt;=MaxScore*80%, IF(G39&gt;=MaxScore*90%, "A", "B"), "C"), "F")</f>
        <v>B</v>
      </c>
    </row>
    <row r="40" spans="1:9" ht="15.75">
      <c r="A40" s="8" t="s">
        <v>86</v>
      </c>
      <c r="B40" s="9" t="s">
        <v>87</v>
      </c>
      <c r="C40" s="1">
        <v>20</v>
      </c>
      <c r="D40" s="1">
        <v>19</v>
      </c>
      <c r="E40" s="1">
        <v>19</v>
      </c>
      <c r="F40" s="1">
        <v>16</v>
      </c>
      <c r="G40">
        <f t="shared" si="0"/>
        <v>74</v>
      </c>
      <c r="H40" t="str">
        <f t="shared" si="1"/>
        <v>P</v>
      </c>
      <c r="I40" t="str">
        <f>IF(G40&gt;=MaxScore*70%, IF(G40&gt;=MaxScore*80%, IF(G40&gt;=MaxScore*90%, "A", "B"), "C"), "F")</f>
        <v>A</v>
      </c>
    </row>
    <row r="41" spans="1:9" ht="15.75">
      <c r="A41" s="6"/>
      <c r="B41" s="6"/>
    </row>
    <row r="42" spans="1:9" ht="15.75">
      <c r="A42" s="8" t="s">
        <v>88</v>
      </c>
      <c r="B42" s="6"/>
      <c r="C42" s="2">
        <f>SUM(C2:C40)/ROWS(C2:C40)</f>
        <v>15.717948717948717</v>
      </c>
      <c r="D42" s="2">
        <f t="shared" ref="D42:G42" si="2">SUM(D2:D40)/ROWS(D2:D40)</f>
        <v>16.282051282051281</v>
      </c>
      <c r="E42" s="2">
        <f t="shared" si="2"/>
        <v>15.871794871794872</v>
      </c>
      <c r="F42" s="2">
        <f t="shared" si="2"/>
        <v>16.666666666666668</v>
      </c>
      <c r="G42" s="2">
        <f t="shared" si="2"/>
        <v>64.538461538461533</v>
      </c>
    </row>
    <row r="43" spans="1:9" ht="15.75">
      <c r="A43" s="8" t="s">
        <v>89</v>
      </c>
      <c r="B43" s="6"/>
      <c r="C43" s="2">
        <f>SUM(C2:C40)/COUNT(C2:C40)</f>
        <v>15.717948717948717</v>
      </c>
      <c r="D43" s="2">
        <f t="shared" ref="D43:G43" si="3">SUM(D2:D40)/COUNT(D2:D40)</f>
        <v>16.282051282051281</v>
      </c>
      <c r="E43" s="2">
        <f t="shared" si="3"/>
        <v>16.72972972972973</v>
      </c>
      <c r="F43" s="2">
        <f t="shared" si="3"/>
        <v>16.666666666666668</v>
      </c>
      <c r="G43" s="2">
        <f t="shared" si="3"/>
        <v>64.538461538461533</v>
      </c>
    </row>
    <row r="44" spans="1:9" ht="15.75">
      <c r="A44" s="8" t="s">
        <v>90</v>
      </c>
      <c r="B44" s="6"/>
      <c r="C44" s="2">
        <f>AVERAGE(C2:C40)</f>
        <v>15.717948717948717</v>
      </c>
      <c r="D44" s="2">
        <f t="shared" ref="D44:G44" si="4">AVERAGE(D2:D40)</f>
        <v>16.282051282051281</v>
      </c>
      <c r="E44" s="2">
        <f>AVERAGE(E2:E40)</f>
        <v>16.72972972972973</v>
      </c>
      <c r="F44" s="2">
        <f t="shared" si="4"/>
        <v>16.666666666666668</v>
      </c>
      <c r="G44" s="2">
        <f t="shared" si="4"/>
        <v>64.538461538461533</v>
      </c>
    </row>
    <row r="45" spans="1:9" ht="15.75">
      <c r="A45" s="8" t="s">
        <v>91</v>
      </c>
      <c r="B45" s="6"/>
      <c r="C45" s="2">
        <f>STDEV(C2:C40)</f>
        <v>3.1784530990033648</v>
      </c>
      <c r="D45" s="2">
        <f t="shared" ref="D45:G45" si="5">STDEV(D2:D40)</f>
        <v>3.9400021236216412</v>
      </c>
      <c r="E45" s="2">
        <f t="shared" si="5"/>
        <v>2.6315252088712557</v>
      </c>
      <c r="F45" s="2">
        <f t="shared" si="5"/>
        <v>3.1232012366980557</v>
      </c>
      <c r="G45" s="2">
        <f t="shared" si="5"/>
        <v>9.3719799454099402</v>
      </c>
    </row>
    <row r="47" spans="1:9">
      <c r="G47" s="2"/>
    </row>
    <row r="48" spans="1:9">
      <c r="G48" s="1"/>
    </row>
    <row r="49" spans="7:7">
      <c r="G49" s="1"/>
    </row>
    <row r="50" spans="7:7">
      <c r="G50" s="1"/>
    </row>
  </sheetData>
  <sortState xmlns:xlrd2="http://schemas.microsoft.com/office/spreadsheetml/2017/richdata2" ref="B2:F40">
    <sortCondition ref="B2:B40"/>
  </sortState>
  <conditionalFormatting sqref="C2:F40">
    <cfRule type="cellIs" dxfId="2" priority="3" operator="lessThan">
      <formula>13</formula>
    </cfRule>
  </conditionalFormatting>
  <conditionalFormatting sqref="A2:A40">
    <cfRule type="expression" dxfId="1" priority="1">
      <formula>$I2 ="A"</formula>
    </cfRule>
    <cfRule type="expression" dxfId="0" priority="2">
      <formula>$I2="F"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60778-0B9B-9845-AC59-CD498C2B9A1F}">
  <dimension ref="A1:D40"/>
  <sheetViews>
    <sheetView zoomScale="125" zoomScaleNormal="200" workbookViewId="0">
      <selection activeCell="I6" sqref="I6"/>
    </sheetView>
  </sheetViews>
  <sheetFormatPr defaultColWidth="11" defaultRowHeight="15.95"/>
  <cols>
    <col min="3" max="3" width="13" bestFit="1" customWidth="1"/>
    <col min="4" max="4" width="14.875" bestFit="1" customWidth="1"/>
  </cols>
  <sheetData>
    <row r="1" spans="1:4">
      <c r="A1" t="s">
        <v>8</v>
      </c>
    </row>
    <row r="2" spans="1:4">
      <c r="A2" t="s">
        <v>92</v>
      </c>
      <c r="C2" s="3" t="s">
        <v>93</v>
      </c>
      <c r="D2" t="s">
        <v>94</v>
      </c>
    </row>
    <row r="3" spans="1:4">
      <c r="A3" t="s">
        <v>95</v>
      </c>
      <c r="C3" s="4" t="s">
        <v>96</v>
      </c>
      <c r="D3" s="5">
        <v>0.28205128205128205</v>
      </c>
    </row>
    <row r="4" spans="1:4">
      <c r="A4" t="s">
        <v>96</v>
      </c>
      <c r="C4" s="4" t="s">
        <v>97</v>
      </c>
      <c r="D4" s="5">
        <v>0.23076923076923078</v>
      </c>
    </row>
    <row r="5" spans="1:4">
      <c r="A5" t="s">
        <v>97</v>
      </c>
      <c r="C5" s="4" t="s">
        <v>95</v>
      </c>
      <c r="D5" s="5">
        <v>0.33333333333333331</v>
      </c>
    </row>
    <row r="6" spans="1:4">
      <c r="A6" t="s">
        <v>95</v>
      </c>
      <c r="C6" s="4" t="s">
        <v>92</v>
      </c>
      <c r="D6" s="5">
        <v>0.15384615384615385</v>
      </c>
    </row>
    <row r="7" spans="1:4">
      <c r="A7" t="s">
        <v>96</v>
      </c>
      <c r="C7" s="4" t="s">
        <v>98</v>
      </c>
      <c r="D7" s="5">
        <v>1</v>
      </c>
    </row>
    <row r="8" spans="1:4">
      <c r="A8" t="s">
        <v>92</v>
      </c>
    </row>
    <row r="9" spans="1:4">
      <c r="A9" t="s">
        <v>92</v>
      </c>
    </row>
    <row r="10" spans="1:4">
      <c r="A10" t="s">
        <v>95</v>
      </c>
    </row>
    <row r="11" spans="1:4">
      <c r="A11" t="s">
        <v>92</v>
      </c>
    </row>
    <row r="12" spans="1:4">
      <c r="A12" t="s">
        <v>95</v>
      </c>
    </row>
    <row r="13" spans="1:4">
      <c r="A13" t="s">
        <v>96</v>
      </c>
    </row>
    <row r="14" spans="1:4">
      <c r="A14" t="s">
        <v>92</v>
      </c>
    </row>
    <row r="15" spans="1:4">
      <c r="A15" t="s">
        <v>95</v>
      </c>
    </row>
    <row r="16" spans="1:4">
      <c r="A16" t="s">
        <v>95</v>
      </c>
    </row>
    <row r="17" spans="1:1">
      <c r="A17" t="s">
        <v>95</v>
      </c>
    </row>
    <row r="18" spans="1:1">
      <c r="A18" t="s">
        <v>92</v>
      </c>
    </row>
    <row r="19" spans="1:1">
      <c r="A19" t="s">
        <v>97</v>
      </c>
    </row>
    <row r="20" spans="1:1">
      <c r="A20" t="s">
        <v>96</v>
      </c>
    </row>
    <row r="21" spans="1:1">
      <c r="A21" t="s">
        <v>95</v>
      </c>
    </row>
    <row r="22" spans="1:1">
      <c r="A22" t="s">
        <v>95</v>
      </c>
    </row>
    <row r="23" spans="1:1">
      <c r="A23" t="s">
        <v>97</v>
      </c>
    </row>
    <row r="24" spans="1:1">
      <c r="A24" t="s">
        <v>95</v>
      </c>
    </row>
    <row r="25" spans="1:1">
      <c r="A25" t="s">
        <v>95</v>
      </c>
    </row>
    <row r="26" spans="1:1">
      <c r="A26" t="s">
        <v>97</v>
      </c>
    </row>
    <row r="27" spans="1:1">
      <c r="A27" t="s">
        <v>97</v>
      </c>
    </row>
    <row r="28" spans="1:1">
      <c r="A28" t="s">
        <v>96</v>
      </c>
    </row>
    <row r="29" spans="1:1">
      <c r="A29" t="s">
        <v>95</v>
      </c>
    </row>
    <row r="30" spans="1:1">
      <c r="A30" t="s">
        <v>96</v>
      </c>
    </row>
    <row r="31" spans="1:1">
      <c r="A31" t="s">
        <v>95</v>
      </c>
    </row>
    <row r="32" spans="1:1">
      <c r="A32" t="s">
        <v>97</v>
      </c>
    </row>
    <row r="33" spans="1:1">
      <c r="A33" t="s">
        <v>97</v>
      </c>
    </row>
    <row r="34" spans="1:1">
      <c r="A34" t="s">
        <v>97</v>
      </c>
    </row>
    <row r="35" spans="1:1">
      <c r="A35" t="s">
        <v>96</v>
      </c>
    </row>
    <row r="36" spans="1:1">
      <c r="A36" t="s">
        <v>96</v>
      </c>
    </row>
    <row r="37" spans="1:1">
      <c r="A37" t="s">
        <v>96</v>
      </c>
    </row>
    <row r="38" spans="1:1">
      <c r="A38" t="s">
        <v>96</v>
      </c>
    </row>
    <row r="39" spans="1:1">
      <c r="A39" t="s">
        <v>97</v>
      </c>
    </row>
    <row r="40" spans="1:1">
      <c r="A40" t="s">
        <v>96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2A0BC-3374-9F4C-A871-8BCD63E9C1FA}">
  <dimension ref="A1:B39"/>
  <sheetViews>
    <sheetView zoomScale="125" zoomScaleNormal="110" workbookViewId="0">
      <selection activeCell="K20" sqref="K20"/>
    </sheetView>
  </sheetViews>
  <sheetFormatPr defaultColWidth="11" defaultRowHeight="15.95"/>
  <sheetData>
    <row r="1" spans="1:2">
      <c r="A1">
        <v>79</v>
      </c>
      <c r="B1">
        <f>A1/MaxScore*100</f>
        <v>98.75</v>
      </c>
    </row>
    <row r="2" spans="1:2">
      <c r="A2">
        <v>79</v>
      </c>
      <c r="B2">
        <f t="shared" ref="B2:B39" si="0">A2/MaxScore*100</f>
        <v>98.75</v>
      </c>
    </row>
    <row r="3" spans="1:2">
      <c r="A3">
        <v>77</v>
      </c>
      <c r="B3">
        <f t="shared" si="0"/>
        <v>96.25</v>
      </c>
    </row>
    <row r="4" spans="1:2">
      <c r="A4">
        <v>76</v>
      </c>
      <c r="B4">
        <f t="shared" si="0"/>
        <v>95</v>
      </c>
    </row>
    <row r="5" spans="1:2">
      <c r="A5">
        <v>74</v>
      </c>
      <c r="B5">
        <f t="shared" si="0"/>
        <v>92.5</v>
      </c>
    </row>
    <row r="6" spans="1:2">
      <c r="A6">
        <v>74</v>
      </c>
      <c r="B6">
        <f t="shared" si="0"/>
        <v>92.5</v>
      </c>
    </row>
    <row r="7" spans="1:2">
      <c r="A7">
        <v>74</v>
      </c>
      <c r="B7">
        <f t="shared" si="0"/>
        <v>92.5</v>
      </c>
    </row>
    <row r="8" spans="1:2">
      <c r="A8">
        <v>73</v>
      </c>
      <c r="B8">
        <f t="shared" si="0"/>
        <v>91.25</v>
      </c>
    </row>
    <row r="9" spans="1:2">
      <c r="A9">
        <v>73</v>
      </c>
      <c r="B9">
        <f t="shared" si="0"/>
        <v>91.25</v>
      </c>
    </row>
    <row r="10" spans="1:2">
      <c r="A10">
        <v>72</v>
      </c>
      <c r="B10">
        <f t="shared" si="0"/>
        <v>90</v>
      </c>
    </row>
    <row r="11" spans="1:2">
      <c r="A11">
        <v>72</v>
      </c>
      <c r="B11">
        <f t="shared" si="0"/>
        <v>90</v>
      </c>
    </row>
    <row r="12" spans="1:2">
      <c r="A12">
        <v>71</v>
      </c>
      <c r="B12">
        <f t="shared" si="0"/>
        <v>88.75</v>
      </c>
    </row>
    <row r="13" spans="1:2">
      <c r="A13">
        <v>71</v>
      </c>
      <c r="B13">
        <f t="shared" si="0"/>
        <v>88.75</v>
      </c>
    </row>
    <row r="14" spans="1:2">
      <c r="A14">
        <v>71</v>
      </c>
      <c r="B14">
        <f t="shared" si="0"/>
        <v>88.75</v>
      </c>
    </row>
    <row r="15" spans="1:2">
      <c r="A15">
        <v>70</v>
      </c>
      <c r="B15">
        <f t="shared" si="0"/>
        <v>87.5</v>
      </c>
    </row>
    <row r="16" spans="1:2">
      <c r="A16">
        <v>69</v>
      </c>
      <c r="B16">
        <f t="shared" si="0"/>
        <v>86.25</v>
      </c>
    </row>
    <row r="17" spans="1:2">
      <c r="A17">
        <v>69</v>
      </c>
      <c r="B17">
        <f t="shared" si="0"/>
        <v>86.25</v>
      </c>
    </row>
    <row r="18" spans="1:2">
      <c r="A18">
        <v>67</v>
      </c>
      <c r="B18">
        <f t="shared" si="0"/>
        <v>83.75</v>
      </c>
    </row>
    <row r="19" spans="1:2">
      <c r="A19">
        <v>67</v>
      </c>
      <c r="B19">
        <f t="shared" si="0"/>
        <v>83.75</v>
      </c>
    </row>
    <row r="20" spans="1:2">
      <c r="A20">
        <v>67</v>
      </c>
      <c r="B20">
        <f t="shared" si="0"/>
        <v>83.75</v>
      </c>
    </row>
    <row r="21" spans="1:2">
      <c r="A21">
        <v>63</v>
      </c>
      <c r="B21">
        <f t="shared" si="0"/>
        <v>78.75</v>
      </c>
    </row>
    <row r="22" spans="1:2">
      <c r="A22">
        <v>62</v>
      </c>
      <c r="B22">
        <f t="shared" si="0"/>
        <v>77.5</v>
      </c>
    </row>
    <row r="23" spans="1:2">
      <c r="A23">
        <v>62</v>
      </c>
      <c r="B23">
        <f t="shared" si="0"/>
        <v>77.5</v>
      </c>
    </row>
    <row r="24" spans="1:2">
      <c r="A24">
        <v>61</v>
      </c>
      <c r="B24">
        <f t="shared" si="0"/>
        <v>76.25</v>
      </c>
    </row>
    <row r="25" spans="1:2">
      <c r="A25">
        <v>61</v>
      </c>
      <c r="B25">
        <f t="shared" si="0"/>
        <v>76.25</v>
      </c>
    </row>
    <row r="26" spans="1:2">
      <c r="A26">
        <v>60</v>
      </c>
      <c r="B26">
        <f t="shared" si="0"/>
        <v>75</v>
      </c>
    </row>
    <row r="27" spans="1:2">
      <c r="A27">
        <v>60</v>
      </c>
      <c r="B27">
        <f t="shared" si="0"/>
        <v>75</v>
      </c>
    </row>
    <row r="28" spans="1:2">
      <c r="A28">
        <v>60</v>
      </c>
      <c r="B28">
        <f t="shared" si="0"/>
        <v>75</v>
      </c>
    </row>
    <row r="29" spans="1:2">
      <c r="A29">
        <v>59</v>
      </c>
      <c r="B29">
        <f t="shared" si="0"/>
        <v>73.75</v>
      </c>
    </row>
    <row r="30" spans="1:2">
      <c r="A30">
        <v>59</v>
      </c>
      <c r="B30">
        <f t="shared" si="0"/>
        <v>73.75</v>
      </c>
    </row>
    <row r="31" spans="1:2">
      <c r="A31">
        <v>59</v>
      </c>
      <c r="B31">
        <f t="shared" si="0"/>
        <v>73.75</v>
      </c>
    </row>
    <row r="32" spans="1:2">
      <c r="A32">
        <v>58</v>
      </c>
      <c r="B32">
        <f t="shared" si="0"/>
        <v>72.5</v>
      </c>
    </row>
    <row r="33" spans="1:2">
      <c r="A33">
        <v>58</v>
      </c>
      <c r="B33">
        <f t="shared" si="0"/>
        <v>72.5</v>
      </c>
    </row>
    <row r="34" spans="1:2">
      <c r="A34">
        <v>53</v>
      </c>
      <c r="B34">
        <f t="shared" si="0"/>
        <v>66.25</v>
      </c>
    </row>
    <row r="35" spans="1:2">
      <c r="A35">
        <v>50</v>
      </c>
      <c r="B35">
        <f t="shared" si="0"/>
        <v>62.5</v>
      </c>
    </row>
    <row r="36" spans="1:2">
      <c r="A36">
        <v>49</v>
      </c>
      <c r="B36">
        <f t="shared" si="0"/>
        <v>61.250000000000007</v>
      </c>
    </row>
    <row r="37" spans="1:2">
      <c r="A37">
        <v>46</v>
      </c>
      <c r="B37">
        <f t="shared" si="0"/>
        <v>57.499999999999993</v>
      </c>
    </row>
    <row r="38" spans="1:2">
      <c r="A38">
        <v>46</v>
      </c>
      <c r="B38">
        <f t="shared" si="0"/>
        <v>57.499999999999993</v>
      </c>
    </row>
    <row r="39" spans="1:2">
      <c r="A39">
        <v>46</v>
      </c>
      <c r="B39">
        <f t="shared" si="0"/>
        <v>57.499999999999993</v>
      </c>
    </row>
  </sheetData>
  <sortState xmlns:xlrd2="http://schemas.microsoft.com/office/spreadsheetml/2017/richdata2" ref="A1:A39">
    <sortCondition descending="1" ref="A1:A3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Emily T Cheng</dc:creator>
  <cp:keywords/>
  <dc:description/>
  <cp:lastModifiedBy/>
  <cp:revision/>
  <dcterms:created xsi:type="dcterms:W3CDTF">2025-10-28T20:13:07Z</dcterms:created>
  <dcterms:modified xsi:type="dcterms:W3CDTF">2025-12-12T03:39:22Z</dcterms:modified>
  <cp:category/>
  <cp:contentStatus/>
</cp:coreProperties>
</file>